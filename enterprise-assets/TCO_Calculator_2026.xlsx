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ck Calculator" sheetId="1" state="visible" r:id="rId1"/>
    <sheet xmlns:r="http://schemas.openxmlformats.org/officeDocument/2006/relationships" name="LLM Cost Estimator" sheetId="2" state="visible" r:id="rId2"/>
    <sheet xmlns:r="http://schemas.openxmlformats.org/officeDocument/2006/relationships" name="Hidden Costs" sheetId="3" state="visible" r:id="rId3"/>
    <sheet xmlns:r="http://schemas.openxmlformats.org/officeDocument/2006/relationships" name="3-Year Proje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&quot;%&quot;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.5"/>
    </font>
    <font>
      <name val="Calibri"/>
      <b val="1"/>
      <color rgb="00065F46"/>
      <sz val="9.5"/>
    </font>
    <font>
      <name val="Calibri"/>
      <i val="1"/>
      <color rgb="00475569"/>
      <sz val="8"/>
    </font>
    <font>
      <name val="Calibri"/>
      <b val="1"/>
      <color rgb="001E293B"/>
      <sz val="9.5"/>
    </font>
    <font>
      <name val="Calibri"/>
      <color rgb="00475569"/>
      <sz val="9"/>
    </font>
  </fonts>
  <fills count="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0F4FF"/>
      </patternFill>
    </fill>
    <fill>
      <patternFill patternType="solid">
        <fgColor rgb="00D1FAE5"/>
      </patternFill>
    </fill>
    <fill>
      <patternFill patternType="solid">
        <fgColor rgb="00FFFFFF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164" fontId="2" fillId="5" borderId="1" applyAlignment="1" pivotButton="0" quotePrefix="0" xfId="0">
      <alignment horizontal="center" vertical="center" wrapText="1"/>
    </xf>
    <xf numFmtId="164" fontId="1" fillId="2" borderId="1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 wrapText="1"/>
    </xf>
    <xf numFmtId="165" fontId="2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6" customWidth="1" min="3" max="3"/>
    <col width="8" customWidth="1" min="4" max="4"/>
    <col width="14" customWidth="1" min="5" max="5"/>
    <col width="14" customWidth="1" min="6" max="6"/>
    <col width="10" customWidth="1" min="7" max="7"/>
    <col width="45" customWidth="1" min="8" max="8"/>
  </cols>
  <sheetData>
    <row r="1" ht="28" customHeight="1">
      <c r="A1" s="1" t="inlineStr">
        <is>
          <t>Tool</t>
        </is>
      </c>
      <c r="B1" s="1" t="inlineStr">
        <is>
          <t>Category</t>
        </is>
      </c>
      <c r="C1" s="1" t="inlineStr">
        <is>
          <t>Monthly/Seat ($)</t>
        </is>
      </c>
      <c r="D1" s="1" t="inlineStr">
        <is>
          <t>Seats</t>
        </is>
      </c>
      <c r="E1" s="1" t="inlineStr">
        <is>
          <t>Monthly Cost</t>
        </is>
      </c>
      <c r="F1" s="1" t="inlineStr">
        <is>
          <t>Annual Cost</t>
        </is>
      </c>
      <c r="G1" s="1" t="inlineStr">
        <is>
          <t>Free Tier?</t>
        </is>
      </c>
      <c r="H1" s="1" t="inlineStr">
        <is>
          <t>ComparEdge Link</t>
        </is>
      </c>
    </row>
    <row r="2">
      <c r="A2" s="2" t="inlineStr">
        <is>
          <t>Notion</t>
        </is>
      </c>
      <c r="B2" s="3" t="inlineStr">
        <is>
          <t>Project Management</t>
        </is>
      </c>
      <c r="C2" s="4" t="n">
        <v>12</v>
      </c>
      <c r="D2" s="3" t="n">
        <v>5</v>
      </c>
      <c r="E2" s="4">
        <f>C2*D2</f>
        <v/>
      </c>
      <c r="F2" s="4">
        <f>E2*12</f>
        <v/>
      </c>
      <c r="G2" s="5" t="inlineStr">
        <is>
          <t>Yes</t>
        </is>
      </c>
      <c r="H2" s="3" t="inlineStr">
        <is>
          <t>https://comparedge.com/compare/notion</t>
        </is>
      </c>
    </row>
    <row r="3">
      <c r="A3" s="6" t="inlineStr">
        <is>
          <t>ClickUp</t>
        </is>
      </c>
      <c r="B3" s="7" t="inlineStr">
        <is>
          <t>Project Management</t>
        </is>
      </c>
      <c r="C3" s="8" t="n">
        <v>7</v>
      </c>
      <c r="D3" s="7" t="n">
        <v>5</v>
      </c>
      <c r="E3" s="8">
        <f>C3*D3</f>
        <v/>
      </c>
      <c r="F3" s="8">
        <f>E3*12</f>
        <v/>
      </c>
      <c r="G3" s="5" t="inlineStr">
        <is>
          <t>Yes</t>
        </is>
      </c>
      <c r="H3" s="7" t="inlineStr">
        <is>
          <t>https://comparedge.com/compare/clickup</t>
        </is>
      </c>
    </row>
    <row r="4">
      <c r="A4" s="2" t="inlineStr">
        <is>
          <t>Asana</t>
        </is>
      </c>
      <c r="B4" s="3" t="inlineStr">
        <is>
          <t>Project Management</t>
        </is>
      </c>
      <c r="C4" s="4" t="n">
        <v>10.99</v>
      </c>
      <c r="D4" s="3" t="n">
        <v>5</v>
      </c>
      <c r="E4" s="4">
        <f>C4*D4</f>
        <v/>
      </c>
      <c r="F4" s="4">
        <f>E4*12</f>
        <v/>
      </c>
      <c r="G4" s="5" t="inlineStr">
        <is>
          <t>Yes</t>
        </is>
      </c>
      <c r="H4" s="3" t="inlineStr">
        <is>
          <t>https://comparedge.com/compare/asana</t>
        </is>
      </c>
    </row>
    <row r="5">
      <c r="A5" s="6" t="inlineStr">
        <is>
          <t>Jira</t>
        </is>
      </c>
      <c r="B5" s="7" t="inlineStr">
        <is>
          <t>Project Management</t>
        </is>
      </c>
      <c r="C5" s="8" t="n">
        <v>7.91</v>
      </c>
      <c r="D5" s="7" t="n">
        <v>5</v>
      </c>
      <c r="E5" s="8">
        <f>C5*D5</f>
        <v/>
      </c>
      <c r="F5" s="8">
        <f>E5*12</f>
        <v/>
      </c>
      <c r="G5" s="5" t="inlineStr">
        <is>
          <t>Yes</t>
        </is>
      </c>
      <c r="H5" s="7" t="inlineStr">
        <is>
          <t>https://comparedge.com/compare/jira</t>
        </is>
      </c>
    </row>
    <row r="6">
      <c r="A6" s="2" t="inlineStr">
        <is>
          <t>Salesforce</t>
        </is>
      </c>
      <c r="B6" s="3" t="inlineStr">
        <is>
          <t>Crm</t>
        </is>
      </c>
      <c r="C6" s="4" t="n">
        <v>25</v>
      </c>
      <c r="D6" s="3" t="n">
        <v>5</v>
      </c>
      <c r="E6" s="4">
        <f>C6*D6</f>
        <v/>
      </c>
      <c r="F6" s="4">
        <f>E6*12</f>
        <v/>
      </c>
      <c r="G6" s="3" t="inlineStr">
        <is>
          <t>No</t>
        </is>
      </c>
      <c r="H6" s="3" t="inlineStr">
        <is>
          <t>https://comparedge.com/compare/salesforce</t>
        </is>
      </c>
    </row>
    <row r="7">
      <c r="A7" s="6" t="inlineStr">
        <is>
          <t>HubSpot</t>
        </is>
      </c>
      <c r="B7" s="7" t="inlineStr">
        <is>
          <t>Crm</t>
        </is>
      </c>
      <c r="C7" s="8" t="n">
        <v>20</v>
      </c>
      <c r="D7" s="7" t="n">
        <v>5</v>
      </c>
      <c r="E7" s="8">
        <f>C7*D7</f>
        <v/>
      </c>
      <c r="F7" s="8">
        <f>E7*12</f>
        <v/>
      </c>
      <c r="G7" s="5" t="inlineStr">
        <is>
          <t>Yes</t>
        </is>
      </c>
      <c r="H7" s="7" t="inlineStr">
        <is>
          <t>https://comparedge.com/compare/hubspot</t>
        </is>
      </c>
    </row>
    <row r="8">
      <c r="A8" s="2" t="inlineStr">
        <is>
          <t>Pipedrive</t>
        </is>
      </c>
      <c r="B8" s="3" t="inlineStr">
        <is>
          <t>Crm</t>
        </is>
      </c>
      <c r="C8" s="4" t="n">
        <v>14</v>
      </c>
      <c r="D8" s="3" t="n">
        <v>5</v>
      </c>
      <c r="E8" s="4">
        <f>C8*D8</f>
        <v/>
      </c>
      <c r="F8" s="4">
        <f>E8*12</f>
        <v/>
      </c>
      <c r="G8" s="3" t="inlineStr">
        <is>
          <t>No</t>
        </is>
      </c>
      <c r="H8" s="3" t="inlineStr">
        <is>
          <t>https://comparedge.com/compare/pipedrive</t>
        </is>
      </c>
    </row>
    <row r="9">
      <c r="A9" s="6" t="inlineStr">
        <is>
          <t>Mailchimp</t>
        </is>
      </c>
      <c r="B9" s="7" t="inlineStr">
        <is>
          <t>Email Marketing</t>
        </is>
      </c>
      <c r="C9" s="8" t="n">
        <v>13</v>
      </c>
      <c r="D9" s="7" t="n">
        <v>5</v>
      </c>
      <c r="E9" s="8">
        <f>C9*D9</f>
        <v/>
      </c>
      <c r="F9" s="8">
        <f>E9*12</f>
        <v/>
      </c>
      <c r="G9" s="5" t="inlineStr">
        <is>
          <t>Yes</t>
        </is>
      </c>
      <c r="H9" s="7" t="inlineStr">
        <is>
          <t>https://comparedge.com/compare/mailchimp</t>
        </is>
      </c>
    </row>
    <row r="10">
      <c r="A10" s="2" t="inlineStr">
        <is>
          <t>ActiveCampaign</t>
        </is>
      </c>
      <c r="B10" s="3" t="inlineStr">
        <is>
          <t>Email Marketing</t>
        </is>
      </c>
      <c r="C10" s="4" t="n">
        <v>15</v>
      </c>
      <c r="D10" s="3" t="n">
        <v>5</v>
      </c>
      <c r="E10" s="4">
        <f>C10*D10</f>
        <v/>
      </c>
      <c r="F10" s="4">
        <f>E10*12</f>
        <v/>
      </c>
      <c r="G10" s="3" t="inlineStr">
        <is>
          <t>No</t>
        </is>
      </c>
      <c r="H10" s="3" t="inlineStr">
        <is>
          <t>https://comparedge.com/compare/activecampaign</t>
        </is>
      </c>
    </row>
    <row r="11">
      <c r="A11" s="6" t="inlineStr">
        <is>
          <t>Zoom</t>
        </is>
      </c>
      <c r="B11" s="7" t="inlineStr">
        <is>
          <t>Video Conferencing</t>
        </is>
      </c>
      <c r="C11" s="8" t="n">
        <v>13.33</v>
      </c>
      <c r="D11" s="7" t="n">
        <v>5</v>
      </c>
      <c r="E11" s="8">
        <f>C11*D11</f>
        <v/>
      </c>
      <c r="F11" s="8">
        <f>E11*12</f>
        <v/>
      </c>
      <c r="G11" s="5" t="inlineStr">
        <is>
          <t>Yes</t>
        </is>
      </c>
      <c r="H11" s="7" t="inlineStr">
        <is>
          <t>https://comparedge.com/compare/zoom</t>
        </is>
      </c>
    </row>
    <row r="12">
      <c r="A12" s="2" t="inlineStr">
        <is>
          <t>Microsoft Teams</t>
        </is>
      </c>
      <c r="B12" s="3" t="inlineStr">
        <is>
          <t>Video Conferencing</t>
        </is>
      </c>
      <c r="C12" s="4" t="n">
        <v>4</v>
      </c>
      <c r="D12" s="3" t="n">
        <v>5</v>
      </c>
      <c r="E12" s="4">
        <f>C12*D12</f>
        <v/>
      </c>
      <c r="F12" s="4">
        <f>E12*12</f>
        <v/>
      </c>
      <c r="G12" s="5" t="inlineStr">
        <is>
          <t>Yes</t>
        </is>
      </c>
      <c r="H12" s="3" t="inlineStr">
        <is>
          <t>https://comparedge.com/compare/microsoft-teams</t>
        </is>
      </c>
    </row>
    <row r="13">
      <c r="A13" s="6" t="inlineStr">
        <is>
          <t>Figma</t>
        </is>
      </c>
      <c r="B13" s="7" t="inlineStr">
        <is>
          <t>Design Tools</t>
        </is>
      </c>
      <c r="C13" s="8" t="n">
        <v>16</v>
      </c>
      <c r="D13" s="7" t="n">
        <v>5</v>
      </c>
      <c r="E13" s="8">
        <f>C13*D13</f>
        <v/>
      </c>
      <c r="F13" s="8">
        <f>E13*12</f>
        <v/>
      </c>
      <c r="G13" s="5" t="inlineStr">
        <is>
          <t>Yes</t>
        </is>
      </c>
      <c r="H13" s="7" t="inlineStr">
        <is>
          <t>https://comparedge.com/compare/figma</t>
        </is>
      </c>
    </row>
    <row r="14">
      <c r="A14" s="2" t="inlineStr">
        <is>
          <t>Canva</t>
        </is>
      </c>
      <c r="B14" s="3" t="inlineStr">
        <is>
          <t>Design Tools</t>
        </is>
      </c>
      <c r="C14" s="4" t="n">
        <v>10</v>
      </c>
      <c r="D14" s="3" t="n">
        <v>5</v>
      </c>
      <c r="E14" s="4">
        <f>C14*D14</f>
        <v/>
      </c>
      <c r="F14" s="4">
        <f>E14*12</f>
        <v/>
      </c>
      <c r="G14" s="5" t="inlineStr">
        <is>
          <t>Yes</t>
        </is>
      </c>
      <c r="H14" s="3" t="inlineStr">
        <is>
          <t>https://comparedge.com/compare/canva</t>
        </is>
      </c>
    </row>
    <row r="15">
      <c r="A15" s="6" t="inlineStr">
        <is>
          <t>Amazon Web Services (AWS)</t>
        </is>
      </c>
      <c r="B15" s="7" t="inlineStr">
        <is>
          <t>Cloud Hosting</t>
        </is>
      </c>
      <c r="C15" s="8" t="n">
        <v>0</v>
      </c>
      <c r="D15" s="7" t="n">
        <v>5</v>
      </c>
      <c r="E15" s="8">
        <f>C15*D15</f>
        <v/>
      </c>
      <c r="F15" s="8">
        <f>E15*12</f>
        <v/>
      </c>
      <c r="G15" s="5" t="inlineStr">
        <is>
          <t>Yes</t>
        </is>
      </c>
      <c r="H15" s="7" t="inlineStr">
        <is>
          <t>https://comparedge.com/compare/aws</t>
        </is>
      </c>
    </row>
    <row r="16">
      <c r="A16" s="2" t="inlineStr">
        <is>
          <t>Google Cloud Platform</t>
        </is>
      </c>
      <c r="B16" s="3" t="inlineStr">
        <is>
          <t>Cloud Hosting</t>
        </is>
      </c>
      <c r="C16" s="4" t="n">
        <v>0</v>
      </c>
      <c r="D16" s="3" t="n">
        <v>5</v>
      </c>
      <c r="E16" s="4">
        <f>C16*D16</f>
        <v/>
      </c>
      <c r="F16" s="4">
        <f>E16*12</f>
        <v/>
      </c>
      <c r="G16" s="5" t="inlineStr">
        <is>
          <t>Yes</t>
        </is>
      </c>
      <c r="H16" s="3" t="inlineStr">
        <is>
          <t>https://comparedge.com/compare/google-cloud</t>
        </is>
      </c>
    </row>
    <row r="17">
      <c r="A17" s="6" t="inlineStr">
        <is>
          <t>monday.com</t>
        </is>
      </c>
      <c r="B17" s="7" t="inlineStr">
        <is>
          <t>Project Management</t>
        </is>
      </c>
      <c r="C17" s="8" t="n">
        <v>9</v>
      </c>
      <c r="D17" s="7" t="n">
        <v>5</v>
      </c>
      <c r="E17" s="8">
        <f>C17*D17</f>
        <v/>
      </c>
      <c r="F17" s="8">
        <f>E17*12</f>
        <v/>
      </c>
      <c r="G17" s="5" t="inlineStr">
        <is>
          <t>Yes</t>
        </is>
      </c>
      <c r="H17" s="7" t="inlineStr">
        <is>
          <t>https://comparedge.com/compare/monday</t>
        </is>
      </c>
    </row>
    <row r="18">
      <c r="A18" s="2" t="inlineStr">
        <is>
          <t>Trello</t>
        </is>
      </c>
      <c r="B18" s="3" t="inlineStr">
        <is>
          <t>Project Management</t>
        </is>
      </c>
      <c r="C18" s="4" t="n">
        <v>5</v>
      </c>
      <c r="D18" s="3" t="n">
        <v>5</v>
      </c>
      <c r="E18" s="4">
        <f>C18*D18</f>
        <v/>
      </c>
      <c r="F18" s="4">
        <f>E18*12</f>
        <v/>
      </c>
      <c r="G18" s="5" t="inlineStr">
        <is>
          <t>Yes</t>
        </is>
      </c>
      <c r="H18" s="3" t="inlineStr">
        <is>
          <t>https://comparedge.com/compare/trello</t>
        </is>
      </c>
    </row>
    <row r="19">
      <c r="A19" s="6" t="inlineStr">
        <is>
          <t>Basecamp</t>
        </is>
      </c>
      <c r="B19" s="7" t="inlineStr">
        <is>
          <t>Project Management</t>
        </is>
      </c>
      <c r="C19" s="8" t="n">
        <v>15</v>
      </c>
      <c r="D19" s="7" t="n">
        <v>5</v>
      </c>
      <c r="E19" s="8">
        <f>C19*D19</f>
        <v/>
      </c>
      <c r="F19" s="8">
        <f>E19*12</f>
        <v/>
      </c>
      <c r="G19" s="5" t="inlineStr">
        <is>
          <t>Yes</t>
        </is>
      </c>
      <c r="H19" s="7" t="inlineStr">
        <is>
          <t>https://comparedge.com/compare/basecamp</t>
        </is>
      </c>
    </row>
    <row r="20">
      <c r="A20" s="2" t="inlineStr">
        <is>
          <t>Wrike</t>
        </is>
      </c>
      <c r="B20" s="3" t="inlineStr">
        <is>
          <t>Project Management</t>
        </is>
      </c>
      <c r="C20" s="4" t="n">
        <v>10</v>
      </c>
      <c r="D20" s="3" t="n">
        <v>5</v>
      </c>
      <c r="E20" s="4">
        <f>C20*D20</f>
        <v/>
      </c>
      <c r="F20" s="4">
        <f>E20*12</f>
        <v/>
      </c>
      <c r="G20" s="5" t="inlineStr">
        <is>
          <t>Yes</t>
        </is>
      </c>
      <c r="H20" s="3" t="inlineStr">
        <is>
          <t>https://comparedge.com/compare/wrike</t>
        </is>
      </c>
    </row>
    <row r="21">
      <c r="A21" s="6" t="inlineStr">
        <is>
          <t>Teamwork</t>
        </is>
      </c>
      <c r="B21" s="7" t="inlineStr">
        <is>
          <t>Project Management</t>
        </is>
      </c>
      <c r="C21" s="8" t="n">
        <v>13.99</v>
      </c>
      <c r="D21" s="7" t="n">
        <v>5</v>
      </c>
      <c r="E21" s="8">
        <f>C21*D21</f>
        <v/>
      </c>
      <c r="F21" s="8">
        <f>E21*12</f>
        <v/>
      </c>
      <c r="G21" s="5" t="inlineStr">
        <is>
          <t>Yes</t>
        </is>
      </c>
      <c r="H21" s="7" t="inlineStr">
        <is>
          <t>https://comparedge.com/compare/teamwork</t>
        </is>
      </c>
    </row>
    <row r="22">
      <c r="A22" s="2" t="inlineStr">
        <is>
          <t>Linear</t>
        </is>
      </c>
      <c r="B22" s="3" t="inlineStr">
        <is>
          <t>Project Management</t>
        </is>
      </c>
      <c r="C22" s="4" t="n">
        <v>10</v>
      </c>
      <c r="D22" s="3" t="n">
        <v>5</v>
      </c>
      <c r="E22" s="4">
        <f>C22*D22</f>
        <v/>
      </c>
      <c r="F22" s="4">
        <f>E22*12</f>
        <v/>
      </c>
      <c r="G22" s="5" t="inlineStr">
        <is>
          <t>Yes</t>
        </is>
      </c>
      <c r="H22" s="3" t="inlineStr">
        <is>
          <t>https://comparedge.com/compare/linear</t>
        </is>
      </c>
    </row>
    <row r="23">
      <c r="A23" s="6" t="inlineStr">
        <is>
          <t>Height</t>
        </is>
      </c>
      <c r="B23" s="7" t="inlineStr">
        <is>
          <t>Project Management</t>
        </is>
      </c>
      <c r="C23" s="8" t="n">
        <v>8.5</v>
      </c>
      <c r="D23" s="7" t="n">
        <v>5</v>
      </c>
      <c r="E23" s="8">
        <f>C23*D23</f>
        <v/>
      </c>
      <c r="F23" s="8">
        <f>E23*12</f>
        <v/>
      </c>
      <c r="G23" s="5" t="inlineStr">
        <is>
          <t>Yes</t>
        </is>
      </c>
      <c r="H23" s="7" t="inlineStr">
        <is>
          <t>https://comparedge.com/compare/height</t>
        </is>
      </c>
    </row>
    <row r="24">
      <c r="A24" s="2" t="inlineStr">
        <is>
          <t>Hive</t>
        </is>
      </c>
      <c r="B24" s="3" t="inlineStr">
        <is>
          <t>Project Management</t>
        </is>
      </c>
      <c r="C24" s="4" t="n">
        <v>5</v>
      </c>
      <c r="D24" s="3" t="n">
        <v>5</v>
      </c>
      <c r="E24" s="4">
        <f>C24*D24</f>
        <v/>
      </c>
      <c r="F24" s="4">
        <f>E24*12</f>
        <v/>
      </c>
      <c r="G24" s="5" t="inlineStr">
        <is>
          <t>Yes</t>
        </is>
      </c>
      <c r="H24" s="3" t="inlineStr">
        <is>
          <t>https://comparedge.com/compare/hive</t>
        </is>
      </c>
    </row>
    <row r="25">
      <c r="A25" s="6" t="inlineStr">
        <is>
          <t>Smartsheet</t>
        </is>
      </c>
      <c r="B25" s="7" t="inlineStr">
        <is>
          <t>Project Management</t>
        </is>
      </c>
      <c r="C25" s="8" t="n">
        <v>9</v>
      </c>
      <c r="D25" s="7" t="n">
        <v>5</v>
      </c>
      <c r="E25" s="8">
        <f>C25*D25</f>
        <v/>
      </c>
      <c r="F25" s="8">
        <f>E25*12</f>
        <v/>
      </c>
      <c r="G25" s="7" t="inlineStr">
        <is>
          <t>No</t>
        </is>
      </c>
      <c r="H25" s="7" t="inlineStr">
        <is>
          <t>https://comparedge.com/compare/smartsheet</t>
        </is>
      </c>
    </row>
    <row r="26">
      <c r="A26" s="2" t="inlineStr">
        <is>
          <t>Airtable</t>
        </is>
      </c>
      <c r="B26" s="3" t="inlineStr">
        <is>
          <t>Project Management</t>
        </is>
      </c>
      <c r="C26" s="4" t="n">
        <v>20</v>
      </c>
      <c r="D26" s="3" t="n">
        <v>5</v>
      </c>
      <c r="E26" s="4">
        <f>C26*D26</f>
        <v/>
      </c>
      <c r="F26" s="4">
        <f>E26*12</f>
        <v/>
      </c>
      <c r="G26" s="5" t="inlineStr">
        <is>
          <t>Yes</t>
        </is>
      </c>
      <c r="H26" s="3" t="inlineStr">
        <is>
          <t>https://comparedge.com/compare/airtable</t>
        </is>
      </c>
    </row>
    <row r="27">
      <c r="A27" s="6" t="inlineStr">
        <is>
          <t>Todoist</t>
        </is>
      </c>
      <c r="B27" s="7" t="inlineStr">
        <is>
          <t>Project Management</t>
        </is>
      </c>
      <c r="C27" s="8" t="n">
        <v>5</v>
      </c>
      <c r="D27" s="7" t="n">
        <v>5</v>
      </c>
      <c r="E27" s="8">
        <f>C27*D27</f>
        <v/>
      </c>
      <c r="F27" s="8">
        <f>E27*12</f>
        <v/>
      </c>
      <c r="G27" s="5" t="inlineStr">
        <is>
          <t>Yes</t>
        </is>
      </c>
      <c r="H27" s="7" t="inlineStr">
        <is>
          <t>https://comparedge.com/compare/todoist</t>
        </is>
      </c>
    </row>
    <row r="28">
      <c r="A28" s="2" t="inlineStr">
        <is>
          <t>Miro</t>
        </is>
      </c>
      <c r="B28" s="3" t="inlineStr">
        <is>
          <t>Project Management</t>
        </is>
      </c>
      <c r="C28" s="4" t="n">
        <v>8</v>
      </c>
      <c r="D28" s="3" t="n">
        <v>5</v>
      </c>
      <c r="E28" s="4">
        <f>C28*D28</f>
        <v/>
      </c>
      <c r="F28" s="4">
        <f>E28*12</f>
        <v/>
      </c>
      <c r="G28" s="5" t="inlineStr">
        <is>
          <t>Yes</t>
        </is>
      </c>
      <c r="H28" s="3" t="inlineStr">
        <is>
          <t>https://comparedge.com/compare/miro</t>
        </is>
      </c>
    </row>
    <row r="29">
      <c r="A29" s="6" t="inlineStr">
        <is>
          <t>Coda</t>
        </is>
      </c>
      <c r="B29" s="7" t="inlineStr">
        <is>
          <t>Project Management</t>
        </is>
      </c>
      <c r="C29" s="8" t="n">
        <v>10</v>
      </c>
      <c r="D29" s="7" t="n">
        <v>5</v>
      </c>
      <c r="E29" s="8">
        <f>C29*D29</f>
        <v/>
      </c>
      <c r="F29" s="8">
        <f>E29*12</f>
        <v/>
      </c>
      <c r="G29" s="5" t="inlineStr">
        <is>
          <t>Yes</t>
        </is>
      </c>
      <c r="H29" s="7" t="inlineStr">
        <is>
          <t>https://comparedge.com/compare/coda</t>
        </is>
      </c>
    </row>
    <row r="30">
      <c r="A30" s="2" t="inlineStr">
        <is>
          <t>Shortcut (formerly Clubhouse)</t>
        </is>
      </c>
      <c r="B30" s="3" t="inlineStr">
        <is>
          <t>Project Management</t>
        </is>
      </c>
      <c r="C30" s="4" t="n">
        <v>8.5</v>
      </c>
      <c r="D30" s="3" t="n">
        <v>5</v>
      </c>
      <c r="E30" s="4">
        <f>C30*D30</f>
        <v/>
      </c>
      <c r="F30" s="4">
        <f>E30*12</f>
        <v/>
      </c>
      <c r="G30" s="5" t="inlineStr">
        <is>
          <t>Yes</t>
        </is>
      </c>
      <c r="H30" s="3" t="inlineStr">
        <is>
          <t>https://comparedge.com/compare/shortcut</t>
        </is>
      </c>
    </row>
    <row r="31">
      <c r="A31" s="6" t="inlineStr">
        <is>
          <t>Nifty</t>
        </is>
      </c>
      <c r="B31" s="7" t="inlineStr">
        <is>
          <t>Project Management</t>
        </is>
      </c>
      <c r="C31" s="8" t="n">
        <v>39</v>
      </c>
      <c r="D31" s="7" t="n">
        <v>5</v>
      </c>
      <c r="E31" s="8">
        <f>C31*D31</f>
        <v/>
      </c>
      <c r="F31" s="8">
        <f>E31*12</f>
        <v/>
      </c>
      <c r="G31" s="5" t="inlineStr">
        <is>
          <t>Yes</t>
        </is>
      </c>
      <c r="H31" s="7" t="inlineStr">
        <is>
          <t>https://comparedge.com/compare/niftypm</t>
        </is>
      </c>
    </row>
    <row r="32">
      <c r="A32" s="1" t="inlineStr">
        <is>
          <t>TOTAL (Monthly)</t>
        </is>
      </c>
      <c r="B32" s="1" t="n"/>
      <c r="C32" s="1" t="n"/>
      <c r="D32" s="1" t="n"/>
      <c r="E32" s="9">
        <f>SUM(E2:E31)</f>
        <v/>
      </c>
      <c r="F32" s="9">
        <f>SUM(F2:F31)</f>
        <v/>
      </c>
      <c r="G32" s="1" t="n"/>
      <c r="H32" s="1" t="n"/>
    </row>
    <row r="34">
      <c r="A34" s="10" t="inlineStr">
        <is>
          <t>Source: comparedge.com | API: comparedge-api.up.railway.app/docs | Updated: April 2026</t>
        </is>
      </c>
    </row>
  </sheetData>
  <mergeCells count="1"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3" customWidth="1" min="4" max="4"/>
    <col width="22" customWidth="1" min="5" max="5"/>
    <col width="18" customWidth="1" min="6" max="6"/>
    <col width="14" customWidth="1" min="7" max="7"/>
  </cols>
  <sheetData>
    <row r="1" ht="28" customHeight="1">
      <c r="A1" s="1" t="inlineStr">
        <is>
          <t>Model</t>
        </is>
      </c>
      <c r="B1" s="1" t="inlineStr">
        <is>
          <t>Provider</t>
        </is>
      </c>
      <c r="C1" s="1" t="inlineStr">
        <is>
          <t>Input $/1M</t>
        </is>
      </c>
      <c r="D1" s="1" t="inlineStr">
        <is>
          <t>Output $/1M</t>
        </is>
      </c>
      <c r="E1" s="1" t="inlineStr">
        <is>
          <t>Est Monthly Tokens (M)</t>
        </is>
      </c>
      <c r="F1" s="1" t="inlineStr">
        <is>
          <t>Est Monthly Cost</t>
        </is>
      </c>
      <c r="G1" s="1" t="inlineStr">
        <is>
          <t>Annual Cost</t>
        </is>
      </c>
    </row>
    <row r="2">
      <c r="A2" s="2" t="inlineStr">
        <is>
          <t>GPT-4o</t>
        </is>
      </c>
      <c r="B2" s="3" t="inlineStr">
        <is>
          <t>OpenAI</t>
        </is>
      </c>
      <c r="C2" s="4" t="n">
        <v>2.5</v>
      </c>
      <c r="D2" s="4" t="n">
        <v>10</v>
      </c>
      <c r="E2" s="3" t="n">
        <v>5</v>
      </c>
      <c r="F2" s="4">
        <f>(C2*E2*0.5 + D2*E2*0.5)</f>
        <v/>
      </c>
      <c r="G2" s="4">
        <f>F2*12</f>
        <v/>
      </c>
    </row>
    <row r="3">
      <c r="A3" s="6" t="inlineStr">
        <is>
          <t>GPT-4o mini</t>
        </is>
      </c>
      <c r="B3" s="7" t="inlineStr">
        <is>
          <t>OpenAI</t>
        </is>
      </c>
      <c r="C3" s="8" t="n">
        <v>0.15</v>
      </c>
      <c r="D3" s="8" t="n">
        <v>0.6</v>
      </c>
      <c r="E3" s="7" t="n">
        <v>10</v>
      </c>
      <c r="F3" s="8">
        <f>(C3*E3*0.5 + D3*E3*0.5)</f>
        <v/>
      </c>
      <c r="G3" s="8">
        <f>F3*12</f>
        <v/>
      </c>
    </row>
    <row r="4">
      <c r="A4" s="2" t="inlineStr">
        <is>
          <t>GPT-3.5 Turbo</t>
        </is>
      </c>
      <c r="B4" s="3" t="inlineStr">
        <is>
          <t>OpenAI</t>
        </is>
      </c>
      <c r="C4" s="4" t="n">
        <v>0.5</v>
      </c>
      <c r="D4" s="4" t="n">
        <v>1.5</v>
      </c>
      <c r="E4" s="3" t="n">
        <v>20</v>
      </c>
      <c r="F4" s="4">
        <f>(C4*E4*0.5 + D4*E4*0.5)</f>
        <v/>
      </c>
      <c r="G4" s="4">
        <f>F4*12</f>
        <v/>
      </c>
    </row>
    <row r="5">
      <c r="A5" s="6" t="inlineStr">
        <is>
          <t>Claude 3.5 Sonnet</t>
        </is>
      </c>
      <c r="B5" s="7" t="inlineStr">
        <is>
          <t>Anthropic</t>
        </is>
      </c>
      <c r="C5" s="8" t="n">
        <v>3</v>
      </c>
      <c r="D5" s="8" t="n">
        <v>15</v>
      </c>
      <c r="E5" s="7" t="n">
        <v>5</v>
      </c>
      <c r="F5" s="8">
        <f>(C5*E5*0.5 + D5*E5*0.5)</f>
        <v/>
      </c>
      <c r="G5" s="8">
        <f>F5*12</f>
        <v/>
      </c>
    </row>
    <row r="6">
      <c r="A6" s="2" t="inlineStr">
        <is>
          <t>Claude 3 Haiku</t>
        </is>
      </c>
      <c r="B6" s="3" t="inlineStr">
        <is>
          <t>Anthropic</t>
        </is>
      </c>
      <c r="C6" s="4" t="n">
        <v>0.25</v>
      </c>
      <c r="D6" s="4" t="n">
        <v>1.25</v>
      </c>
      <c r="E6" s="3" t="n">
        <v>15</v>
      </c>
      <c r="F6" s="4">
        <f>(C6*E6*0.5 + D6*E6*0.5)</f>
        <v/>
      </c>
      <c r="G6" s="4">
        <f>F6*12</f>
        <v/>
      </c>
    </row>
    <row r="7">
      <c r="A7" s="6" t="inlineStr">
        <is>
          <t>Claude 3 Opus</t>
        </is>
      </c>
      <c r="B7" s="7" t="inlineStr">
        <is>
          <t>Anthropic</t>
        </is>
      </c>
      <c r="C7" s="8" t="n">
        <v>15</v>
      </c>
      <c r="D7" s="8" t="n">
        <v>75</v>
      </c>
      <c r="E7" s="7" t="n">
        <v>1</v>
      </c>
      <c r="F7" s="8">
        <f>(C7*E7*0.5 + D7*E7*0.5)</f>
        <v/>
      </c>
      <c r="G7" s="8">
        <f>F7*12</f>
        <v/>
      </c>
    </row>
    <row r="8">
      <c r="A8" s="2" t="inlineStr">
        <is>
          <t>Gemini 1.5 Pro</t>
        </is>
      </c>
      <c r="B8" s="3" t="inlineStr">
        <is>
          <t>Google</t>
        </is>
      </c>
      <c r="C8" s="4" t="n">
        <v>1.25</v>
      </c>
      <c r="D8" s="4" t="n">
        <v>5</v>
      </c>
      <c r="E8" s="3" t="n">
        <v>5</v>
      </c>
      <c r="F8" s="4">
        <f>(C8*E8*0.5 + D8*E8*0.5)</f>
        <v/>
      </c>
      <c r="G8" s="4">
        <f>F8*12</f>
        <v/>
      </c>
    </row>
    <row r="9">
      <c r="A9" s="6" t="inlineStr">
        <is>
          <t>Gemini 1.5 Flash</t>
        </is>
      </c>
      <c r="B9" s="7" t="inlineStr">
        <is>
          <t>Google</t>
        </is>
      </c>
      <c r="C9" s="8" t="n">
        <v>0.075</v>
      </c>
      <c r="D9" s="8" t="n">
        <v>0.3</v>
      </c>
      <c r="E9" s="7" t="n">
        <v>20</v>
      </c>
      <c r="F9" s="8">
        <f>(C9*E9*0.5 + D9*E9*0.5)</f>
        <v/>
      </c>
      <c r="G9" s="8">
        <f>F9*12</f>
        <v/>
      </c>
    </row>
    <row r="10">
      <c r="A10" s="2" t="inlineStr">
        <is>
          <t>DeepSeek V3</t>
        </is>
      </c>
      <c r="B10" s="3" t="inlineStr">
        <is>
          <t>DeepSeek</t>
        </is>
      </c>
      <c r="C10" s="4" t="n">
        <v>0.27</v>
      </c>
      <c r="D10" s="4" t="n">
        <v>1.1</v>
      </c>
      <c r="E10" s="3" t="n">
        <v>10</v>
      </c>
      <c r="F10" s="4">
        <f>(C10*E10*0.5 + D10*E10*0.5)</f>
        <v/>
      </c>
      <c r="G10" s="4">
        <f>F10*12</f>
        <v/>
      </c>
    </row>
    <row r="11">
      <c r="A11" s="6" t="inlineStr">
        <is>
          <t>DeepSeek R1</t>
        </is>
      </c>
      <c r="B11" s="7" t="inlineStr">
        <is>
          <t>DeepSeek</t>
        </is>
      </c>
      <c r="C11" s="8" t="n">
        <v>0.55</v>
      </c>
      <c r="D11" s="8" t="n">
        <v>2.19</v>
      </c>
      <c r="E11" s="7" t="n">
        <v>5</v>
      </c>
      <c r="F11" s="8">
        <f>(C11*E11*0.5 + D11*E11*0.5)</f>
        <v/>
      </c>
      <c r="G11" s="8">
        <f>F11*12</f>
        <v/>
      </c>
    </row>
    <row r="12">
      <c r="A12" s="2" t="inlineStr">
        <is>
          <t>Llama 3.1 70B</t>
        </is>
      </c>
      <c r="B12" s="3" t="inlineStr">
        <is>
          <t>Meta/Groq</t>
        </is>
      </c>
      <c r="C12" s="4" t="n">
        <v>0.8</v>
      </c>
      <c r="D12" s="4" t="n">
        <v>0.8</v>
      </c>
      <c r="E12" s="3" t="n">
        <v>8</v>
      </c>
      <c r="F12" s="4">
        <f>(C12*E12*0.5 + D12*E12*0.5)</f>
        <v/>
      </c>
      <c r="G12" s="4">
        <f>F12*12</f>
        <v/>
      </c>
    </row>
    <row r="13">
      <c r="A13" s="6" t="inlineStr">
        <is>
          <t>Llama 3.1 405B</t>
        </is>
      </c>
      <c r="B13" s="7" t="inlineStr">
        <is>
          <t>Meta/Groq</t>
        </is>
      </c>
      <c r="C13" s="8" t="n">
        <v>3</v>
      </c>
      <c r="D13" s="8" t="n">
        <v>3</v>
      </c>
      <c r="E13" s="7" t="n">
        <v>2</v>
      </c>
      <c r="F13" s="8">
        <f>(C13*E13*0.5 + D13*E13*0.5)</f>
        <v/>
      </c>
      <c r="G13" s="8">
        <f>F13*12</f>
        <v/>
      </c>
    </row>
    <row r="14">
      <c r="A14" s="2" t="inlineStr">
        <is>
          <t>Mistral Large</t>
        </is>
      </c>
      <c r="B14" s="3" t="inlineStr">
        <is>
          <t>Mistral</t>
        </is>
      </c>
      <c r="C14" s="4" t="n">
        <v>2</v>
      </c>
      <c r="D14" s="4" t="n">
        <v>6</v>
      </c>
      <c r="E14" s="3" t="n">
        <v>4</v>
      </c>
      <c r="F14" s="4">
        <f>(C14*E14*0.5 + D14*E14*0.5)</f>
        <v/>
      </c>
      <c r="G14" s="4">
        <f>F14*12</f>
        <v/>
      </c>
    </row>
    <row r="15">
      <c r="A15" s="6" t="inlineStr">
        <is>
          <t>Mistral 7B</t>
        </is>
      </c>
      <c r="B15" s="7" t="inlineStr">
        <is>
          <t>Mistral</t>
        </is>
      </c>
      <c r="C15" s="8" t="n">
        <v>0.25</v>
      </c>
      <c r="D15" s="8" t="n">
        <v>0.25</v>
      </c>
      <c r="E15" s="7" t="n">
        <v>15</v>
      </c>
      <c r="F15" s="8">
        <f>(C15*E15*0.5 + D15*E15*0.5)</f>
        <v/>
      </c>
      <c r="G15" s="8">
        <f>F15*12</f>
        <v/>
      </c>
    </row>
    <row r="16">
      <c r="A16" s="2" t="inlineStr">
        <is>
          <t>Command R+</t>
        </is>
      </c>
      <c r="B16" s="3" t="inlineStr">
        <is>
          <t>Cohere</t>
        </is>
      </c>
      <c r="C16" s="4" t="n">
        <v>3</v>
      </c>
      <c r="D16" s="4" t="n">
        <v>15</v>
      </c>
      <c r="E16" s="3" t="n">
        <v>2</v>
      </c>
      <c r="F16" s="4">
        <f>(C16*E16*0.5 + D16*E16*0.5)</f>
        <v/>
      </c>
      <c r="G16" s="4">
        <f>F16*12</f>
        <v/>
      </c>
    </row>
    <row r="17">
      <c r="A17" s="6" t="inlineStr">
        <is>
          <t>Perplexity Sonar</t>
        </is>
      </c>
      <c r="B17" s="7" t="inlineStr">
        <is>
          <t>Perplexity</t>
        </is>
      </c>
      <c r="C17" s="8" t="n">
        <v>1</v>
      </c>
      <c r="D17" s="8" t="n">
        <v>1</v>
      </c>
      <c r="E17" s="7" t="n">
        <v>3</v>
      </c>
      <c r="F17" s="8">
        <f>(C17*E17*0.5 + D17*E17*0.5)</f>
        <v/>
      </c>
      <c r="G17" s="8">
        <f>F17*12</f>
        <v/>
      </c>
    </row>
    <row r="18">
      <c r="A18" s="1" t="inlineStr">
        <is>
          <t>TOTAL (Selected Models)</t>
        </is>
      </c>
      <c r="B18" s="1" t="n"/>
      <c r="C18" s="1" t="n"/>
      <c r="D18" s="1" t="n"/>
      <c r="E18" s="1" t="n"/>
      <c r="F18" s="9">
        <f>SUM(F2:F17)</f>
        <v/>
      </c>
      <c r="G18" s="9">
        <f>SUM(G2:G17)</f>
        <v/>
      </c>
    </row>
    <row r="20">
      <c r="A20" s="10" t="inlineStr">
        <is>
          <t>Source: comparedge.com | API: comparedge-api.up.railway.app/docs | Updated: April 2026</t>
        </is>
      </c>
    </row>
  </sheetData>
  <mergeCells count="1">
    <mergeCell ref="A20:G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8" customWidth="1" min="3" max="3"/>
    <col width="55" customWidth="1" min="4" max="4"/>
  </cols>
  <sheetData>
    <row r="1" ht="28" customHeight="1">
      <c r="A1" s="1" t="inlineStr">
        <is>
          <t>Cost Category</t>
        </is>
      </c>
      <c r="B1" s="1" t="inlineStr">
        <is>
          <t>Typical Range ($)</t>
        </is>
      </c>
      <c r="C1" s="1" t="inlineStr">
        <is>
          <t>Your Estimate ($)</t>
        </is>
      </c>
      <c r="D1" s="1" t="inlineStr">
        <is>
          <t>Notes</t>
        </is>
      </c>
    </row>
    <row r="2">
      <c r="A2" s="2" t="inlineStr">
        <is>
          <t>Implementation &amp; Setup</t>
        </is>
      </c>
      <c r="B2" s="3" t="inlineStr">
        <is>
          <t>$500 – $10,000</t>
        </is>
      </c>
      <c r="C2" s="4" t="n">
        <v>0</v>
      </c>
      <c r="D2" s="3" t="inlineStr">
        <is>
          <t>One-time cost; includes configuration, data migration setup, and initial customization.</t>
        </is>
      </c>
    </row>
    <row r="3">
      <c r="A3" s="6" t="inlineStr">
        <is>
          <t>Staff Training</t>
        </is>
      </c>
      <c r="B3" s="7" t="inlineStr">
        <is>
          <t>$200 – $5,000</t>
        </is>
      </c>
      <c r="C3" s="8" t="n">
        <v>0</v>
      </c>
      <c r="D3" s="7" t="inlineStr">
        <is>
          <t>Per team; includes workshops, e-learning licenses, and productivity loss during onboarding.</t>
        </is>
      </c>
    </row>
    <row r="4">
      <c r="A4" s="2" t="inlineStr">
        <is>
          <t>Data Migration</t>
        </is>
      </c>
      <c r="B4" s="3" t="inlineStr">
        <is>
          <t>$1,000 – $20,000</t>
        </is>
      </c>
      <c r="C4" s="4" t="n">
        <v>0</v>
      </c>
      <c r="D4" s="3" t="inlineStr">
        <is>
          <t>Depends on data volume, cleanliness, and source system complexity.</t>
        </is>
      </c>
    </row>
    <row r="5">
      <c r="A5" s="6" t="inlineStr">
        <is>
          <t>API Overages</t>
        </is>
      </c>
      <c r="B5" s="7" t="inlineStr">
        <is>
          <t>$50 – $2,000/mo</t>
        </is>
      </c>
      <c r="C5" s="8" t="n">
        <v>0</v>
      </c>
      <c r="D5" s="7" t="inlineStr">
        <is>
          <t>Charges beyond included API call limits; common in AI/ML and data platforms.</t>
        </is>
      </c>
    </row>
    <row r="6">
      <c r="A6" s="2" t="inlineStr">
        <is>
          <t>Storage Overages</t>
        </is>
      </c>
      <c r="B6" s="3" t="inlineStr">
        <is>
          <t>$20 – $500/mo</t>
        </is>
      </c>
      <c r="C6" s="4" t="n">
        <v>0</v>
      </c>
      <c r="D6" s="3" t="inlineStr">
        <is>
          <t>Additional storage above plan limits; relevant for file-heavy tools like CRM and DAM.</t>
        </is>
      </c>
    </row>
    <row r="7">
      <c r="A7" s="6" t="inlineStr">
        <is>
          <t>Support Tier Upgrade</t>
        </is>
      </c>
      <c r="B7" s="7" t="inlineStr">
        <is>
          <t>$100 – $1,000/mo</t>
        </is>
      </c>
      <c r="C7" s="8" t="n">
        <v>0</v>
      </c>
      <c r="D7" s="7" t="inlineStr">
        <is>
          <t>Premium support (phone, dedicated CSM, faster SLA) charged separately.</t>
        </is>
      </c>
    </row>
    <row r="8">
      <c r="A8" s="2" t="inlineStr">
        <is>
          <t>Compliance &amp; Audit</t>
        </is>
      </c>
      <c r="B8" s="3" t="inlineStr">
        <is>
          <t>$2,000 – $15,000</t>
        </is>
      </c>
      <c r="C8" s="4" t="n">
        <v>0</v>
      </c>
      <c r="D8" s="3" t="inlineStr">
        <is>
          <t>Annual compliance review, penetration testing, and audit reporting costs.</t>
        </is>
      </c>
    </row>
    <row r="9">
      <c r="A9" s="6" t="inlineStr">
        <is>
          <t>Integration Maintenance</t>
        </is>
      </c>
      <c r="B9" s="7" t="inlineStr">
        <is>
          <t>$50 – $500/mo</t>
        </is>
      </c>
      <c r="C9" s="8" t="n">
        <v>0</v>
      </c>
      <c r="D9" s="7" t="inlineStr">
        <is>
          <t>Zapier/Make fees, custom integration dev time, or iPaaS licensing.</t>
        </is>
      </c>
    </row>
    <row r="10">
      <c r="A10" s="2" t="inlineStr">
        <is>
          <t>Renewal Price Increase</t>
        </is>
      </c>
      <c r="B10" s="3" t="inlineStr">
        <is>
          <t>5–20% annually</t>
        </is>
      </c>
      <c r="C10" s="4" t="n">
        <v>0</v>
      </c>
      <c r="D10" s="3" t="inlineStr">
        <is>
          <t>Average SaaS renewal markup; account for in multi-year projections.</t>
        </is>
      </c>
    </row>
    <row r="11">
      <c r="A11" s="6" t="inlineStr">
        <is>
          <t>Custom Development</t>
        </is>
      </c>
      <c r="B11" s="7" t="inlineStr">
        <is>
          <t>$500 – $50,000</t>
        </is>
      </c>
      <c r="C11" s="8" t="n">
        <v>0</v>
      </c>
      <c r="D11" s="7" t="inlineStr">
        <is>
          <t>Custom features, SSO integration, white-labeling, or API wrapper development.</t>
        </is>
      </c>
    </row>
    <row r="12">
      <c r="A12" s="1" t="inlineStr">
        <is>
          <t>TOTAL HIDDEN COSTS</t>
        </is>
      </c>
      <c r="B12" s="1" t="n"/>
      <c r="C12" s="9">
        <f>SUM(C2:C11)</f>
        <v/>
      </c>
      <c r="D12" s="1" t="n"/>
    </row>
    <row r="14">
      <c r="A14" s="10" t="inlineStr">
        <is>
          <t>Source: comparedge.com | API: comparedge-api.up.railway.app/docs | Updated: April 2026</t>
        </is>
      </c>
    </row>
  </sheetData>
  <mergeCells count="1"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6" customWidth="1" min="4" max="4"/>
    <col width="16" customWidth="1" min="5" max="5"/>
    <col width="14" customWidth="1" min="6" max="6"/>
  </cols>
  <sheetData>
    <row r="1" ht="28" customHeight="1">
      <c r="A1" s="1" t="inlineStr">
        <is>
          <t>Year</t>
        </is>
      </c>
      <c r="B1" s="1" t="inlineStr">
        <is>
          <t>SaaS Stack (Annual)</t>
        </is>
      </c>
      <c r="C1" s="1" t="inlineStr">
        <is>
          <t>LLM APIs (Annual)</t>
        </is>
      </c>
      <c r="D1" s="1" t="inlineStr">
        <is>
          <t>Hidden Costs</t>
        </is>
      </c>
      <c r="E1" s="1" t="inlineStr">
        <is>
          <t>Total</t>
        </is>
      </c>
      <c r="F1" s="1" t="inlineStr">
        <is>
          <t>YoY Growth %</t>
        </is>
      </c>
    </row>
    <row r="2">
      <c r="A2" s="2" t="inlineStr">
        <is>
          <t>Year 1 (2026)</t>
        </is>
      </c>
      <c r="B2" s="4">
        <f>'Stack Calculator'!F31</f>
        <v/>
      </c>
      <c r="C2" s="4">
        <f>'LLM Cost Estimator'!G17</f>
        <v/>
      </c>
      <c r="D2" s="4">
        <f>'Hidden Costs'!C11</f>
        <v/>
      </c>
      <c r="E2" s="4">
        <f>B2+C2+D2</f>
        <v/>
      </c>
      <c r="F2" s="3" t="inlineStr">
        <is>
          <t>Baseline</t>
        </is>
      </c>
    </row>
    <row r="3">
      <c r="A3" s="6" t="inlineStr">
        <is>
          <t>Year 2 (2027)</t>
        </is>
      </c>
      <c r="B3" s="8">
        <f>B2*1.15</f>
        <v/>
      </c>
      <c r="C3" s="8">
        <f>C2*1.15</f>
        <v/>
      </c>
      <c r="D3" s="8">
        <f>D2*1.10</f>
        <v/>
      </c>
      <c r="E3" s="8">
        <f>B3+C3+D3</f>
        <v/>
      </c>
      <c r="F3" s="11">
        <f>(E3/E2-1)*100</f>
        <v/>
      </c>
    </row>
    <row r="4">
      <c r="A4" s="2" t="inlineStr">
        <is>
          <t>Year 3 (2028)</t>
        </is>
      </c>
      <c r="B4" s="4">
        <f>B3*1.15</f>
        <v/>
      </c>
      <c r="C4" s="4">
        <f>C3*1.15</f>
        <v/>
      </c>
      <c r="D4" s="4">
        <f>D3*1.10</f>
        <v/>
      </c>
      <c r="E4" s="4">
        <f>B4+C4+D4</f>
        <v/>
      </c>
      <c r="F4" s="12">
        <f>(E4/E3-1)*100</f>
        <v/>
      </c>
    </row>
    <row r="5">
      <c r="A5" s="1" t="inlineStr">
        <is>
          <t>3-YEAR TOTAL</t>
        </is>
      </c>
      <c r="B5" s="9">
        <f>SUM(B2:B4)</f>
        <v/>
      </c>
      <c r="C5" s="9">
        <f>SUM(C2:C4)</f>
        <v/>
      </c>
      <c r="D5" s="9">
        <f>SUM(D2:D4)</f>
        <v/>
      </c>
      <c r="E5" s="9">
        <f>SUM(E2:E4)</f>
        <v/>
      </c>
      <c r="F5" s="1" t="n"/>
    </row>
    <row r="7">
      <c r="A7" s="13" t="inlineStr">
        <is>
          <t>📌 Assumptions:</t>
        </is>
      </c>
    </row>
    <row r="8">
      <c r="A8" s="14" t="inlineStr">
        <is>
          <t>• SaaS prices grow at 15% annually (industry average for mid-market contracts)</t>
        </is>
      </c>
    </row>
    <row r="9">
      <c r="A9" s="14" t="inlineStr">
        <is>
          <t>• LLM API costs grow at 15% but may decrease with model efficiency gains</t>
        </is>
      </c>
    </row>
    <row r="10">
      <c r="A10" s="14" t="inlineStr">
        <is>
          <t>• Hidden/implementation costs grow at 10% (inflation + scope expansion)</t>
        </is>
      </c>
    </row>
    <row r="11">
      <c r="A11" s="14" t="inlineStr">
        <is>
          <t>• Seats remain constant at baseline; update Sheet 1 for headcount scenarios</t>
        </is>
      </c>
    </row>
    <row r="13">
      <c r="A13" s="10" t="inlineStr">
        <is>
          <t>Source: comparedge.com | API: comparedge-api.up.railway.app/docs | Updated: April 2026</t>
        </is>
      </c>
    </row>
  </sheetData>
  <mergeCells count="5">
    <mergeCell ref="A11:F11"/>
    <mergeCell ref="A10:F10"/>
    <mergeCell ref="A13:F13"/>
    <mergeCell ref="A9:F9"/>
    <mergeCell ref="A8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2026-04-27T16:35:14Z</dcterms:created>
  <dcterms:modified xmlns:dcterms="http://purl.org/dc/terms/" xmlns:xsi="http://www.w3.org/2001/XMLSchema-instance" xsi:type="dcterms:W3CDTF">2026-04-27T16:35:14Z</dcterms:modified>
</cp:coreProperties>
</file>